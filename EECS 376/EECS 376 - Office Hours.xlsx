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ECS 376 Office Hours" sheetId="1" r:id="rId5"/>
  </sheets>
  <definedNames/>
  <calcPr/>
</workbook>
</file>

<file path=xl/sharedStrings.xml><?xml version="1.0" encoding="utf-8"?>
<sst xmlns="http://schemas.openxmlformats.org/spreadsheetml/2006/main" count="17" uniqueCount="13">
  <si>
    <t>Sunday</t>
  </si>
  <si>
    <t>Monday</t>
  </si>
  <si>
    <t>Tuesday</t>
  </si>
  <si>
    <t>Wednesday</t>
  </si>
  <si>
    <t>Thursday</t>
  </si>
  <si>
    <t>Friday</t>
  </si>
  <si>
    <t>BBB 1637 - Table 1</t>
  </si>
  <si>
    <t>Leinweber 2421</t>
  </si>
  <si>
    <t>Central - East Hall Math Atrium</t>
  </si>
  <si>
    <t>Lienweber 2421</t>
  </si>
  <si>
    <t>Central</t>
  </si>
  <si>
    <t>Virtual</t>
  </si>
  <si>
    <t>Sam? 2:30 - 4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</si>
</sst>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&quot;:&quot;mm&quot; &quot;am/pm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/>
    <font>
      <sz val="10.0"/>
      <color rgb="FF000000"/>
      <name val="Arial"/>
    </font>
    <font>
      <sz val="13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B4A7D6"/>
        <bgColor rgb="FFB4A7D6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left style="thin">
        <color rgb="FF999999"/>
      </left>
      <top style="thin">
        <color rgb="FF999999"/>
      </top>
    </border>
    <border>
      <left style="thin">
        <color rgb="FF999999"/>
      </left>
    </border>
    <border>
      <left style="thin">
        <color rgb="FF999999"/>
      </left>
      <bottom style="thin">
        <color rgb="FF999999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readingOrder="0" vertical="center"/>
    </xf>
    <xf borderId="0" fillId="0" fontId="3" numFmtId="0" xfId="0" applyFont="1"/>
    <xf borderId="2" fillId="2" fontId="2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2" fillId="2" fontId="2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shrinkToFit="0" wrapText="1"/>
    </xf>
    <xf borderId="5" fillId="3" fontId="3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shrinkToFit="0" wrapText="1"/>
    </xf>
    <xf borderId="0" fillId="0" fontId="1" numFmtId="0" xfId="0" applyAlignment="1" applyFont="1">
      <alignment horizontal="center" readingOrder="0"/>
    </xf>
    <xf borderId="0" fillId="4" fontId="3" numFmtId="0" xfId="0" applyAlignment="1" applyFill="1" applyFont="1">
      <alignment horizontal="center" shrinkToFit="0" vertical="center" wrapText="1"/>
    </xf>
    <xf borderId="6" fillId="4" fontId="3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6" fillId="0" fontId="1" numFmtId="0" xfId="0" applyAlignment="1" applyBorder="1" applyFont="1">
      <alignment shrinkToFit="0" wrapText="1"/>
    </xf>
    <xf borderId="6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7" fillId="0" fontId="3" numFmtId="164" xfId="0" applyAlignment="1" applyBorder="1" applyFont="1" applyNumberFormat="1">
      <alignment horizontal="center" readingOrder="0" vertical="center"/>
    </xf>
    <xf borderId="5" fillId="0" fontId="3" numFmtId="0" xfId="0" applyAlignment="1" applyBorder="1" applyFont="1">
      <alignment horizontal="center" readingOrder="0" vertical="center"/>
    </xf>
    <xf borderId="7" fillId="0" fontId="3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6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8" fillId="0" fontId="3" numFmtId="164" xfId="0" applyAlignment="1" applyBorder="1" applyFont="1" applyNumberFormat="1">
      <alignment horizontal="center" vertical="center"/>
    </xf>
    <xf borderId="7" fillId="4" fontId="3" numFmtId="0" xfId="0" applyAlignment="1" applyBorder="1" applyFill="1" applyFont="1">
      <alignment horizontal="center" readingOrder="0" shrinkToFit="0" vertical="center" wrapText="1"/>
    </xf>
    <xf borderId="6" fillId="0" fontId="3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shrinkToFit="0" wrapText="1"/>
    </xf>
    <xf borderId="5" fillId="0" fontId="1" numFmtId="0" xfId="0" applyAlignment="1" applyBorder="1" applyFont="1">
      <alignment horizontal="center" shrinkToFit="0" wrapText="1"/>
    </xf>
    <xf borderId="7" fillId="0" fontId="1" numFmtId="0" xfId="0" applyAlignment="1" applyBorder="1" applyFont="1">
      <alignment horizontal="center" shrinkToFit="0" wrapText="1"/>
    </xf>
    <xf borderId="7" fillId="3" fontId="3" numFmtId="0" xfId="0" applyAlignment="1" applyBorder="1" applyFill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readingOrder="0" shrinkToFit="0" vertical="center" wrapText="1"/>
    </xf>
    <xf borderId="9" fillId="0" fontId="3" numFmtId="164" xfId="0" applyAlignment="1" applyBorder="1" applyFont="1" applyNumberFormat="1">
      <alignment horizontal="center" vertical="center"/>
    </xf>
    <xf borderId="5" fillId="0" fontId="6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/>
    </xf>
    <xf borderId="7" fillId="0" fontId="5" numFmtId="0" xfId="0" applyAlignment="1" applyBorder="1" applyFont="1">
      <alignment horizontal="center" readingOrder="0" shrinkToFit="0" vertical="center" wrapText="0"/>
    </xf>
    <xf borderId="7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7" fillId="5" fontId="3" numFmtId="0" xfId="0" applyAlignment="1" applyBorder="1" applyFill="1" applyFont="1">
      <alignment horizontal="center" readingOrder="0" vertical="center"/>
    </xf>
    <xf borderId="0" fillId="5" fontId="5" numFmtId="0" xfId="0" applyAlignment="1" applyFill="1" applyFont="1">
      <alignment horizontal="center" readingOrder="0" vertical="center"/>
    </xf>
    <xf borderId="6" fillId="5" fontId="3" numFmtId="0" xfId="0" applyAlignment="1" applyBorder="1" applyFill="1" applyFont="1">
      <alignment horizontal="center" readingOrder="0" vertical="center"/>
    </xf>
    <xf borderId="0" fillId="5" fontId="3" numFmtId="0" xfId="0" applyFill="1" applyFont="1"/>
    <xf borderId="0" fillId="5" fontId="3" numFmtId="0" xfId="0" applyAlignment="1" applyFill="1" applyFont="1">
      <alignment horizontal="center" readingOrder="0" vertical="center"/>
    </xf>
    <xf borderId="5" fillId="3" fontId="3" numFmtId="0" xfId="0" applyAlignment="1" applyBorder="1" applyFill="1" applyFont="1">
      <alignment horizontal="center" vertical="center"/>
    </xf>
    <xf borderId="5" fillId="3" fontId="3" numFmtId="0" xfId="0" applyAlignment="1" applyBorder="1" applyFill="1" applyFont="1">
      <alignment horizontal="center" readingOrder="0" vertical="center"/>
    </xf>
    <xf borderId="5" fillId="0" fontId="3" numFmtId="0" xfId="0" applyAlignment="1" applyBorder="1" applyFont="1">
      <alignment horizontal="center" readingOrder="0"/>
    </xf>
    <xf borderId="7" fillId="5" fontId="1" numFmtId="0" xfId="0" applyAlignment="1" applyBorder="1" applyFill="1" applyFont="1">
      <alignment horizontal="center"/>
    </xf>
    <xf borderId="0" fillId="5" fontId="1" numFmtId="0" xfId="0" applyFill="1" applyFont="1"/>
    <xf borderId="6" fillId="5" fontId="1" numFmtId="0" xfId="0" applyBorder="1" applyFill="1" applyFont="1"/>
    <xf borderId="7" fillId="5" fontId="3" numFmtId="0" xfId="0" applyAlignment="1" applyBorder="1" applyFill="1" applyFont="1">
      <alignment horizontal="center" vertical="center"/>
    </xf>
    <xf borderId="0" fillId="5" fontId="3" numFmtId="0" xfId="0" applyAlignment="1" applyFill="1" applyFont="1">
      <alignment horizontal="center" vertical="center"/>
    </xf>
    <xf borderId="6" fillId="5" fontId="3" numFmtId="0" xfId="0" applyAlignment="1" applyBorder="1" applyFill="1" applyFont="1">
      <alignment horizontal="center" vertical="center"/>
    </xf>
    <xf borderId="10" fillId="0" fontId="3" numFmtId="164" xfId="0" applyAlignment="1" applyBorder="1" applyFont="1" applyNumberFormat="1">
      <alignment horizontal="center" vertical="center"/>
    </xf>
    <xf borderId="11" fillId="0" fontId="3" numFmtId="0" xfId="0" applyAlignment="1" applyBorder="1" applyFont="1">
      <alignment horizontal="center" vertical="center"/>
    </xf>
    <xf borderId="12" fillId="0" fontId="3" numFmtId="0" xfId="0" applyAlignment="1" applyBorder="1" applyFont="1">
      <alignment horizontal="center" vertical="center"/>
    </xf>
    <xf borderId="13" fillId="0" fontId="3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3">
    <dxf>
      <font/>
      <fill>
        <patternFill patternType="solid">
          <fgColor rgb="FFB4A7D6"/>
          <bgColor rgb="FFB4A7D6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8.88"/>
    <col customWidth="1" min="2" max="2" width="20.13"/>
    <col customWidth="1" min="3" max="3" width="3.25"/>
    <col customWidth="1" min="4" max="6" width="20.13"/>
    <col customWidth="1" min="7" max="7" width="3.25"/>
    <col customWidth="1" min="8" max="10" width="20.13"/>
    <col customWidth="1" min="11" max="11" width="3.25"/>
    <col customWidth="1" min="12" max="14" width="20.13"/>
    <col customWidth="1" min="15" max="15" width="3.25"/>
    <col customWidth="1" min="16" max="18" width="20.13"/>
    <col customWidth="1" min="19" max="19" width="3.25"/>
    <col customWidth="1" min="20" max="22" width="20.13"/>
  </cols>
  <sheetData>
    <row r="1">
      <c r="A1" s="1"/>
      <c r="B1" s="2" t="s">
        <v>0</v>
      </c>
      <c r="C1" s="3"/>
      <c r="D1" s="4" t="s">
        <v>1</v>
      </c>
      <c r="E1" s="5"/>
      <c r="F1" s="6"/>
      <c r="G1" s="3"/>
      <c r="H1" s="4" t="s">
        <v>2</v>
      </c>
      <c r="I1" s="5"/>
      <c r="J1" s="6"/>
      <c r="K1" s="3"/>
      <c r="L1" s="4" t="s">
        <v>3</v>
      </c>
      <c r="M1" s="5"/>
      <c r="N1" s="6"/>
      <c r="O1" s="3"/>
      <c r="P1" s="7" t="s">
        <v>4</v>
      </c>
      <c r="Q1" s="5"/>
      <c r="R1" s="6"/>
      <c r="S1" s="8"/>
      <c r="T1" s="7" t="s">
        <v>5</v>
      </c>
      <c r="U1" s="5"/>
      <c r="V1" s="6"/>
      <c r="W1" s="8"/>
    </row>
    <row r="2">
      <c r="A2" s="9"/>
      <c r="B2" s="10" t="s">
        <v>6</v>
      </c>
      <c r="C2" s="11"/>
      <c r="D2" s="12" t="s">
        <v>7</v>
      </c>
      <c r="E2" s="13" t="s">
        <v>8</v>
      </c>
      <c r="F2" s="14"/>
      <c r="G2" s="15"/>
      <c r="H2" s="12" t="s">
        <v>9</v>
      </c>
      <c r="I2" s="13" t="s">
        <v>8</v>
      </c>
      <c r="J2" s="16"/>
      <c r="K2" s="11"/>
      <c r="L2" s="12" t="s">
        <v>9</v>
      </c>
      <c r="M2" s="15" t="s">
        <v>10</v>
      </c>
      <c r="N2" s="12" t="s">
        <v>11</v>
      </c>
      <c r="O2" s="11"/>
      <c r="P2" s="12" t="s">
        <v>9</v>
      </c>
      <c r="Q2" s="15"/>
      <c r="R2" s="17"/>
      <c r="S2" s="18"/>
      <c r="T2" s="12" t="s">
        <v>9</v>
      </c>
      <c r="U2" s="15"/>
      <c r="V2" s="17"/>
      <c r="W2" s="18"/>
    </row>
    <row r="3">
      <c r="A3" s="19"/>
      <c r="B3" s="20"/>
      <c r="C3" s="3"/>
      <c r="D3" s="21"/>
      <c r="E3" s="22"/>
      <c r="F3" s="23"/>
      <c r="G3" s="24"/>
      <c r="H3" s="21"/>
      <c r="I3" s="24"/>
      <c r="J3" s="23"/>
      <c r="K3" s="3"/>
      <c r="L3" s="21"/>
      <c r="M3" s="24"/>
      <c r="N3" s="23"/>
      <c r="O3" s="3"/>
      <c r="Q3" s="24"/>
      <c r="R3" s="23"/>
      <c r="S3" s="8"/>
      <c r="T3" s="21"/>
      <c r="U3" s="24"/>
      <c r="V3" s="23"/>
      <c r="W3" s="8"/>
    </row>
    <row r="4">
      <c r="A4" s="25">
        <v>0.4375</v>
      </c>
      <c r="B4" s="26" t="str">
        <f>IFERROR(__xludf.DUMMYFUNCTION("IMPORTRANGE(""https://docs.google.com/spreadsheets/d/1tXYO4O5-_wlmtjj0RkHpzY41mpmoQz2ZRwoUx7zxbwI/edit?gid=579408544#gid=579408544"",""EECS 376 Office Hours!B5:B26"")"),"")</f>
        <v/>
      </c>
      <c r="C4" s="3"/>
      <c r="D4" s="26" t="str">
        <f>IFERROR(__xludf.DUMMYFUNCTION("IMPORTRANGE(""https://docs.google.com/spreadsheets/d/1tXYO4O5-_wlmtjj0RkHpzY41mpmoQz2ZRwoUx7zxbwI/edit?gid=579408544#gid=579408544"",""EECS 376 Office Hours!D5:D26"")"),"Michael, Sam")</f>
        <v>Michael, Sam</v>
      </c>
      <c r="E4" s="26" t="str">
        <f>IFERROR(__xludf.DUMMYFUNCTION("IMPORTRANGE(""https://docs.google.com/spreadsheets/d/1tXYO4O5-_wlmtjj0RkHpzY41mpmoQz2ZRwoUx7zxbwI/edit?gid=579408544#gid=579408544"",""EECS 376 Office Hours!F5:F26"")"),"Logan")</f>
        <v>Logan</v>
      </c>
      <c r="F4" s="27"/>
      <c r="G4" s="8"/>
      <c r="H4" s="28" t="str">
        <f>IFERROR(__xludf.DUMMYFUNCTION("IMPORTRANGE(""https://docs.google.com/spreadsheets/d/1tXYO4O5-_wlmtjj0RkHpzY41mpmoQz2ZRwoUx7zxbwI/edit?gid=579408544#gid=579408544"",""EECS 376 Office Hours!I5:I26"")"),"")</f>
        <v/>
      </c>
      <c r="I4" s="28" t="str">
        <f>IFERROR(__xludf.DUMMYFUNCTION("IMPORTRANGE(""https://docs.google.com/spreadsheets/d/1tXYO4O5-_wlmtjj0RkHpzY41mpmoQz2ZRwoUx7zxbwI/edit?gid=579408544#gid=579408544"",""EECS 376 Office Hours!K5:K26"")"),"")</f>
        <v/>
      </c>
      <c r="J4" s="23"/>
      <c r="K4" s="3"/>
      <c r="L4" s="29" t="str">
        <f>IFERROR(__xludf.DUMMYFUNCTION("IMPORTRANGE(""https://docs.google.com/spreadsheets/d/1tXYO4O5-_wlmtjj0RkHpzY41mpmoQz2ZRwoUx7zxbwI/edit?gid=579408544#gid=579408544"",""EECS 376 Office Hours!N5:N26"")"),"Sam")</f>
        <v>Sam</v>
      </c>
      <c r="M4" s="24"/>
      <c r="N4" s="30" t="str">
        <f>IFERROR(__xludf.DUMMYFUNCTION("IMPORTRANGE(""https://docs.google.com/spreadsheets/d/1tXYO4O5-_wlmtjj0RkHpzY41mpmoQz2ZRwoUx7zxbwI/edit?gid=579408544#gid=579408544"",""EECS 376 Office Hours!Q5:Q26"")"),"")</f>
        <v/>
      </c>
      <c r="O4" s="3"/>
      <c r="P4" s="31" t="str">
        <f>IFERROR(__xludf.DUMMYFUNCTION("IMPORTRANGE(""https://docs.google.com/spreadsheets/d/1tXYO4O5-_wlmtjj0RkHpzY41mpmoQz2ZRwoUx7zxbwI/edit?gid=579408544#gid=579408544"",""EECS 376 Office Hours!S5:S26"")"),"Michael")</f>
        <v>Michael</v>
      </c>
      <c r="Q4" s="24"/>
      <c r="R4" s="23"/>
      <c r="S4" s="8"/>
      <c r="T4" s="32" t="str">
        <f>IFERROR(__xludf.DUMMYFUNCTION("IMPORTRANGE(""https://docs.google.com/spreadsheets/d/1tXYO4O5-_wlmtjj0RkHpzY41mpmoQz2ZRwoUx7zxbwI/edit?gid=579408544#gid=579408544"",""EECS 376 Office Hours!X5:X26"")"),"Logan")</f>
        <v>Logan</v>
      </c>
      <c r="U4" s="8"/>
      <c r="V4" s="27"/>
      <c r="W4" s="8"/>
    </row>
    <row r="5">
      <c r="A5" s="33">
        <v>0.4583333333333333</v>
      </c>
      <c r="B5" s="34"/>
      <c r="C5" s="3"/>
      <c r="D5" s="35" t="str">
        <f>IFERROR(__xludf.DUMMYFUNCTION("""COMPUTED_VALUE"""),"Michael, Sam")</f>
        <v>Michael, Sam</v>
      </c>
      <c r="E5" s="36" t="str">
        <f>IFERROR(__xludf.DUMMYFUNCTION("""COMPUTED_VALUE"""),"Logan")</f>
        <v>Logan</v>
      </c>
      <c r="F5" s="27"/>
      <c r="G5" s="3"/>
      <c r="H5" s="37"/>
      <c r="I5" s="8"/>
      <c r="J5" s="27"/>
      <c r="K5" s="3"/>
      <c r="L5" s="21" t="str">
        <f>IFERROR(__xludf.DUMMYFUNCTION("""COMPUTED_VALUE"""),"Sam")</f>
        <v>Sam</v>
      </c>
      <c r="M5" s="24"/>
      <c r="N5" s="23"/>
      <c r="O5" s="3"/>
      <c r="P5" s="21" t="str">
        <f>IFERROR(__xludf.DUMMYFUNCTION("""COMPUTED_VALUE"""),"Michael")</f>
        <v>Michael</v>
      </c>
      <c r="Q5" s="24"/>
      <c r="R5" s="23"/>
      <c r="S5" s="8"/>
      <c r="T5" s="37" t="str">
        <f>IFERROR(__xludf.DUMMYFUNCTION("""COMPUTED_VALUE"""),"Logan")</f>
        <v>Logan</v>
      </c>
      <c r="U5" s="8"/>
      <c r="V5" s="27"/>
      <c r="W5" s="8"/>
    </row>
    <row r="6">
      <c r="A6" s="33">
        <v>0.4791666666666667</v>
      </c>
      <c r="B6" s="38"/>
      <c r="C6" s="3"/>
      <c r="D6" s="21" t="str">
        <f>IFERROR(__xludf.DUMMYFUNCTION("""COMPUTED_VALUE"""),"Michael, Sam")</f>
        <v>Michael, Sam</v>
      </c>
      <c r="E6" s="22" t="str">
        <f>IFERROR(__xludf.DUMMYFUNCTION("""COMPUTED_VALUE"""),"Logan")</f>
        <v>Logan</v>
      </c>
      <c r="F6" s="23"/>
      <c r="G6" s="3"/>
      <c r="H6" s="21"/>
      <c r="I6" s="24"/>
      <c r="J6" s="23"/>
      <c r="K6" s="3"/>
      <c r="L6" s="21" t="str">
        <f>IFERROR(__xludf.DUMMYFUNCTION("""COMPUTED_VALUE"""),"Sam")</f>
        <v>Sam</v>
      </c>
      <c r="M6" s="24"/>
      <c r="N6" s="23"/>
      <c r="O6" s="3"/>
      <c r="P6" s="21" t="str">
        <f>IFERROR(__xludf.DUMMYFUNCTION("""COMPUTED_VALUE"""),"Michael")</f>
        <v>Michael</v>
      </c>
      <c r="Q6" s="24"/>
      <c r="R6" s="23"/>
      <c r="S6" s="8"/>
      <c r="T6" s="21" t="str">
        <f>IFERROR(__xludf.DUMMYFUNCTION("""COMPUTED_VALUE"""),"Logan")</f>
        <v>Logan</v>
      </c>
      <c r="U6" s="24"/>
      <c r="V6" s="23"/>
      <c r="W6" s="8"/>
    </row>
    <row r="7">
      <c r="A7" s="33">
        <v>0.5</v>
      </c>
      <c r="B7" s="38"/>
      <c r="C7" s="3"/>
      <c r="D7" s="21" t="str">
        <f>IFERROR(__xludf.DUMMYFUNCTION("""COMPUTED_VALUE"""),"Michael, Sam")</f>
        <v>Michael, Sam</v>
      </c>
      <c r="E7" s="22" t="str">
        <f>IFERROR(__xludf.DUMMYFUNCTION("""COMPUTED_VALUE"""),"Logan")</f>
        <v>Logan</v>
      </c>
      <c r="F7" s="23"/>
      <c r="G7" s="3"/>
      <c r="H7" s="21"/>
      <c r="I7" s="24"/>
      <c r="J7" s="23"/>
      <c r="K7" s="3"/>
      <c r="L7" s="21" t="str">
        <f>IFERROR(__xludf.DUMMYFUNCTION("""COMPUTED_VALUE"""),"Sam")</f>
        <v>Sam</v>
      </c>
      <c r="M7" s="24"/>
      <c r="N7" s="23"/>
      <c r="O7" s="3"/>
      <c r="P7" s="21"/>
      <c r="Q7" s="24"/>
      <c r="R7" s="23"/>
      <c r="S7" s="8"/>
      <c r="T7" s="21" t="str">
        <f>IFERROR(__xludf.DUMMYFUNCTION("""COMPUTED_VALUE"""),"Logan")</f>
        <v>Logan</v>
      </c>
      <c r="U7" s="24"/>
      <c r="V7" s="23"/>
      <c r="W7" s="8"/>
    </row>
    <row r="8">
      <c r="A8" s="33">
        <v>0.5208333333333334</v>
      </c>
      <c r="B8" s="38"/>
      <c r="C8" s="3"/>
      <c r="D8" s="21" t="str">
        <f>IFERROR(__xludf.DUMMYFUNCTION("""COMPUTED_VALUE"""),"Michael, Anthony")</f>
        <v>Michael, Anthony</v>
      </c>
      <c r="E8" s="22"/>
      <c r="F8" s="23"/>
      <c r="G8" s="3"/>
      <c r="H8" s="21" t="str">
        <f>IFERROR(__xludf.DUMMYFUNCTION("""COMPUTED_VALUE"""),"Jett")</f>
        <v>Jett</v>
      </c>
      <c r="I8" s="24"/>
      <c r="J8" s="23"/>
      <c r="K8" s="3"/>
      <c r="L8" s="21" t="str">
        <f>IFERROR(__xludf.DUMMYFUNCTION("""COMPUTED_VALUE"""),"Anthony")</f>
        <v>Anthony</v>
      </c>
      <c r="M8" s="24"/>
      <c r="N8" s="23" t="str">
        <f>IFERROR(__xludf.DUMMYFUNCTION("""COMPUTED_VALUE"""),"Nick")</f>
        <v>Nick</v>
      </c>
      <c r="O8" s="3"/>
      <c r="P8" s="21" t="str">
        <f>IFERROR(__xludf.DUMMYFUNCTION("""COMPUTED_VALUE"""),"Jett")</f>
        <v>Jett</v>
      </c>
      <c r="Q8" s="24"/>
      <c r="R8" s="23"/>
      <c r="S8" s="8"/>
      <c r="T8" s="21" t="str">
        <f>IFERROR(__xludf.DUMMYFUNCTION("""COMPUTED_VALUE"""),"Logan")</f>
        <v>Logan</v>
      </c>
      <c r="U8" s="24"/>
      <c r="V8" s="23"/>
      <c r="W8" s="8"/>
    </row>
    <row r="9">
      <c r="A9" s="33">
        <v>0.5416666666666666</v>
      </c>
      <c r="B9" s="38"/>
      <c r="C9" s="3"/>
      <c r="D9" s="39" t="str">
        <f>IFERROR(__xludf.DUMMYFUNCTION("""COMPUTED_VALUE"""),"Michael, Anthony")</f>
        <v>Michael, Anthony</v>
      </c>
      <c r="E9" s="40"/>
      <c r="F9" s="41"/>
      <c r="G9" s="42"/>
      <c r="H9" s="39" t="str">
        <f>IFERROR(__xludf.DUMMYFUNCTION("""COMPUTED_VALUE"""),"Jett")</f>
        <v>Jett</v>
      </c>
      <c r="I9" s="43" t="str">
        <f>IFERROR(__xludf.DUMMYFUNCTION("""COMPUTED_VALUE"""),"Nick")</f>
        <v>Nick</v>
      </c>
      <c r="J9" s="41"/>
      <c r="K9" s="42"/>
      <c r="L9" s="39" t="str">
        <f>IFERROR(__xludf.DUMMYFUNCTION("""COMPUTED_VALUE"""),"Pearl, Anthony")</f>
        <v>Pearl, Anthony</v>
      </c>
      <c r="M9" s="43"/>
      <c r="N9" s="41" t="str">
        <f>IFERROR(__xludf.DUMMYFUNCTION("""COMPUTED_VALUE"""),"Nick")</f>
        <v>Nick</v>
      </c>
      <c r="O9" s="42"/>
      <c r="P9" s="39" t="str">
        <f>IFERROR(__xludf.DUMMYFUNCTION("""COMPUTED_VALUE"""),"Jett")</f>
        <v>Jett</v>
      </c>
      <c r="Q9" s="43"/>
      <c r="R9" s="41"/>
      <c r="S9" s="8"/>
      <c r="T9" s="39"/>
      <c r="U9" s="43"/>
      <c r="V9" s="41"/>
      <c r="W9" s="8"/>
    </row>
    <row r="10">
      <c r="A10" s="33">
        <v>0.5625</v>
      </c>
      <c r="B10" s="38"/>
      <c r="C10" s="3"/>
      <c r="D10" s="39" t="str">
        <f>IFERROR(__xludf.DUMMYFUNCTION("""COMPUTED_VALUE"""),"Anthony")</f>
        <v>Anthony</v>
      </c>
      <c r="E10" s="40"/>
      <c r="F10" s="41"/>
      <c r="G10" s="42"/>
      <c r="H10" s="39" t="str">
        <f>IFERROR(__xludf.DUMMYFUNCTION("""COMPUTED_VALUE"""),"Jett")</f>
        <v>Jett</v>
      </c>
      <c r="I10" s="43" t="str">
        <f>IFERROR(__xludf.DUMMYFUNCTION("""COMPUTED_VALUE"""),"Nick")</f>
        <v>Nick</v>
      </c>
      <c r="J10" s="41"/>
      <c r="K10" s="42"/>
      <c r="L10" s="39" t="str">
        <f>IFERROR(__xludf.DUMMYFUNCTION("""COMPUTED_VALUE"""),"Pearl, Anthony")</f>
        <v>Pearl, Anthony</v>
      </c>
      <c r="M10" s="43"/>
      <c r="N10" s="41" t="str">
        <f>IFERROR(__xludf.DUMMYFUNCTION("""COMPUTED_VALUE"""),"Nick")</f>
        <v>Nick</v>
      </c>
      <c r="O10" s="42"/>
      <c r="P10" s="39" t="str">
        <f>IFERROR(__xludf.DUMMYFUNCTION("""COMPUTED_VALUE"""),"Jett")</f>
        <v>Jett</v>
      </c>
      <c r="Q10" s="43"/>
      <c r="R10" s="41"/>
      <c r="S10" s="8"/>
      <c r="T10" s="39"/>
      <c r="U10" s="43"/>
      <c r="V10" s="41"/>
      <c r="W10" s="8"/>
    </row>
    <row r="11">
      <c r="A11" s="33">
        <v>0.5833333333333334</v>
      </c>
      <c r="B11" s="44" t="str">
        <f>IFERROR(__xludf.DUMMYFUNCTION("""COMPUTED_VALUE"""),"Pearl")</f>
        <v>Pearl</v>
      </c>
      <c r="C11" s="3"/>
      <c r="D11" s="39" t="str">
        <f>IFERROR(__xludf.DUMMYFUNCTION("""COMPUTED_VALUE"""),"Anthony")</f>
        <v>Anthony</v>
      </c>
      <c r="E11" s="40"/>
      <c r="F11" s="41"/>
      <c r="G11" s="42"/>
      <c r="H11" s="39" t="str">
        <f>IFERROR(__xludf.DUMMYFUNCTION("""COMPUTED_VALUE"""),"Jett")</f>
        <v>Jett</v>
      </c>
      <c r="I11" s="43" t="str">
        <f>IFERROR(__xludf.DUMMYFUNCTION("""COMPUTED_VALUE"""),"Nick")</f>
        <v>Nick</v>
      </c>
      <c r="J11" s="41"/>
      <c r="K11" s="42"/>
      <c r="L11" s="39" t="str">
        <f>IFERROR(__xludf.DUMMYFUNCTION("""COMPUTED_VALUE"""),"Pearl, Anthony")</f>
        <v>Pearl, Anthony</v>
      </c>
      <c r="M11" s="43"/>
      <c r="N11" s="41" t="str">
        <f>IFERROR(__xludf.DUMMYFUNCTION("""COMPUTED_VALUE"""),"Nick")</f>
        <v>Nick</v>
      </c>
      <c r="O11" s="42"/>
      <c r="P11" s="39" t="str">
        <f>IFERROR(__xludf.DUMMYFUNCTION("""COMPUTED_VALUE"""),"Samanway, Jett")</f>
        <v>Samanway, Jett</v>
      </c>
      <c r="Q11" s="43"/>
      <c r="R11" s="41"/>
      <c r="S11" s="8"/>
      <c r="T11" s="39"/>
      <c r="U11" s="43"/>
      <c r="V11" s="41"/>
      <c r="W11" s="8"/>
    </row>
    <row r="12">
      <c r="A12" s="33">
        <v>0.6041666666666666</v>
      </c>
      <c r="B12" s="44" t="str">
        <f>IFERROR(__xludf.DUMMYFUNCTION("""COMPUTED_VALUE"""),"Pearl")</f>
        <v>Pearl</v>
      </c>
      <c r="C12" s="3"/>
      <c r="D12" s="39" t="str">
        <f>IFERROR(__xludf.DUMMYFUNCTION("""COMPUTED_VALUE"""),"Anthony")</f>
        <v>Anthony</v>
      </c>
      <c r="E12" s="40"/>
      <c r="F12" s="41"/>
      <c r="G12" s="42"/>
      <c r="H12" s="39" t="str">
        <f>IFERROR(__xludf.DUMMYFUNCTION("""COMPUTED_VALUE"""),"Jett, Sam")</f>
        <v>Jett, Sam</v>
      </c>
      <c r="I12" s="43"/>
      <c r="J12" s="41"/>
      <c r="K12" s="42"/>
      <c r="L12" s="39" t="str">
        <f>IFERROR(__xludf.DUMMYFUNCTION("""COMPUTED_VALUE"""),"Pearl")</f>
        <v>Pearl</v>
      </c>
      <c r="M12" s="43" t="s">
        <v>12</v>
      </c>
      <c r="N12" s="41" t="str">
        <f>IFERROR(__xludf.DUMMYFUNCTION("""COMPUTED_VALUE"""),"Nick")</f>
        <v>Nick</v>
      </c>
      <c r="O12" s="42"/>
      <c r="P12" s="39" t="str">
        <f>IFERROR(__xludf.DUMMYFUNCTION("""COMPUTED_VALUE"""),"Samanway, Jett")</f>
        <v>Samanway, Jett</v>
      </c>
      <c r="Q12" s="43"/>
      <c r="R12" s="41"/>
      <c r="S12" s="8"/>
      <c r="T12" s="39"/>
      <c r="U12" s="43"/>
      <c r="V12" s="41"/>
      <c r="W12" s="8"/>
    </row>
    <row r="13">
      <c r="A13" s="33">
        <v>0.625</v>
      </c>
      <c r="B13" s="45" t="str">
        <f>IFERROR(__xludf.DUMMYFUNCTION("""COMPUTED_VALUE"""),"Pearl")</f>
        <v>Pearl</v>
      </c>
      <c r="C13" s="3"/>
      <c r="D13" s="39" t="str">
        <f>IFERROR(__xludf.DUMMYFUNCTION("""COMPUTED_VALUE"""),"Anthony")</f>
        <v>Anthony</v>
      </c>
      <c r="E13" s="40"/>
      <c r="F13" s="41"/>
      <c r="G13" s="42"/>
      <c r="H13" s="39" t="str">
        <f>IFERROR(__xludf.DUMMYFUNCTION("""COMPUTED_VALUE"""),"Sam")</f>
        <v>Sam</v>
      </c>
      <c r="I13" s="43"/>
      <c r="J13" s="41"/>
      <c r="K13" s="42"/>
      <c r="L13" s="39" t="str">
        <f>IFERROR(__xludf.DUMMYFUNCTION("""COMPUTED_VALUE"""),"Pearl")</f>
        <v>Pearl</v>
      </c>
      <c r="M13" s="43"/>
      <c r="N13" s="41" t="str">
        <f>IFERROR(__xludf.DUMMYFUNCTION("""COMPUTED_VALUE"""),"Nick")</f>
        <v>Nick</v>
      </c>
      <c r="O13" s="42"/>
      <c r="P13" s="39" t="str">
        <f>IFERROR(__xludf.DUMMYFUNCTION("""COMPUTED_VALUE"""),"Samanway, Jett")</f>
        <v>Samanway, Jett</v>
      </c>
      <c r="Q13" s="43"/>
      <c r="R13" s="41"/>
      <c r="S13" s="8"/>
      <c r="T13" s="39"/>
      <c r="U13" s="43"/>
      <c r="V13" s="41"/>
      <c r="W13" s="8"/>
    </row>
    <row r="14">
      <c r="A14" s="33">
        <v>0.6458333333333334</v>
      </c>
      <c r="B14" s="45" t="str">
        <f>IFERROR(__xludf.DUMMYFUNCTION("""COMPUTED_VALUE"""),"Pearl")</f>
        <v>Pearl</v>
      </c>
      <c r="C14" s="3"/>
      <c r="D14" s="39"/>
      <c r="E14" s="40"/>
      <c r="F14" s="41"/>
      <c r="G14" s="42"/>
      <c r="H14" s="39" t="str">
        <f>IFERROR(__xludf.DUMMYFUNCTION("""COMPUTED_VALUE"""),"Sam")</f>
        <v>Sam</v>
      </c>
      <c r="I14" s="43"/>
      <c r="J14" s="41"/>
      <c r="K14" s="42"/>
      <c r="L14" s="39" t="str">
        <f>IFERROR(__xludf.DUMMYFUNCTION("""COMPUTED_VALUE"""),"Pearl")</f>
        <v>Pearl</v>
      </c>
      <c r="M14" s="43"/>
      <c r="N14" s="41"/>
      <c r="O14" s="42"/>
      <c r="P14" s="39" t="str">
        <f>IFERROR(__xludf.DUMMYFUNCTION("""COMPUTED_VALUE"""),"Samanway")</f>
        <v>Samanway</v>
      </c>
      <c r="Q14" s="43"/>
      <c r="R14" s="41"/>
      <c r="S14" s="8"/>
      <c r="T14" s="39"/>
      <c r="U14" s="43"/>
      <c r="V14" s="41"/>
      <c r="W14" s="8"/>
    </row>
    <row r="15">
      <c r="A15" s="33">
        <v>0.6666666666666666</v>
      </c>
      <c r="B15" s="20"/>
      <c r="C15" s="3"/>
      <c r="D15" s="39"/>
      <c r="E15" s="40"/>
      <c r="F15" s="41"/>
      <c r="G15" s="42"/>
      <c r="H15" s="39" t="str">
        <f>IFERROR(__xludf.DUMMYFUNCTION("""COMPUTED_VALUE"""),"Sam")</f>
        <v>Sam</v>
      </c>
      <c r="I15" s="43"/>
      <c r="J15" s="41"/>
      <c r="K15" s="42"/>
      <c r="L15" s="39"/>
      <c r="M15" s="43"/>
      <c r="N15" s="41"/>
      <c r="O15" s="42"/>
      <c r="P15" s="39" t="str">
        <f>IFERROR(__xludf.DUMMYFUNCTION("""COMPUTED_VALUE"""),"Samanway")</f>
        <v>Samanway</v>
      </c>
      <c r="Q15" s="43"/>
      <c r="R15" s="41"/>
      <c r="S15" s="8"/>
      <c r="T15" s="39"/>
      <c r="U15" s="43"/>
      <c r="V15" s="41"/>
      <c r="W15" s="8"/>
    </row>
    <row r="16">
      <c r="A16" s="33">
        <v>0.6875</v>
      </c>
      <c r="B16" s="46"/>
      <c r="C16" s="3"/>
      <c r="D16" s="39"/>
      <c r="E16" s="40"/>
      <c r="F16" s="41"/>
      <c r="G16" s="42"/>
      <c r="H16" s="39" t="str">
        <f>IFERROR(__xludf.DUMMYFUNCTION("""COMPUTED_VALUE"""),"Yiyi")</f>
        <v>Yiyi</v>
      </c>
      <c r="I16" s="43"/>
      <c r="J16" s="41"/>
      <c r="K16" s="42"/>
      <c r="L16" s="39"/>
      <c r="M16" s="43"/>
      <c r="N16" s="41"/>
      <c r="O16" s="42"/>
      <c r="P16" s="39" t="str">
        <f>IFERROR(__xludf.DUMMYFUNCTION("""COMPUTED_VALUE"""),"Samanway")</f>
        <v>Samanway</v>
      </c>
      <c r="Q16" s="43"/>
      <c r="R16" s="41"/>
      <c r="S16" s="8"/>
      <c r="T16" s="39" t="str">
        <f>IFERROR(__xludf.DUMMYFUNCTION("""COMPUTED_VALUE"""),"Michael, Yiyi")</f>
        <v>Michael, Yiyi</v>
      </c>
      <c r="U16" s="43"/>
      <c r="V16" s="41"/>
      <c r="W16" s="8"/>
    </row>
    <row r="17">
      <c r="A17" s="33">
        <v>0.7083333333333334</v>
      </c>
      <c r="B17" s="20"/>
      <c r="C17" s="3"/>
      <c r="D17" s="47" t="str">
        <f>IFERROR(__xludf.DUMMYFUNCTION("""COMPUTED_VALUE"""),"Samanway")</f>
        <v>Samanway</v>
      </c>
      <c r="E17" s="48"/>
      <c r="F17" s="49"/>
      <c r="G17" s="42"/>
      <c r="H17" s="39" t="str">
        <f>IFERROR(__xludf.DUMMYFUNCTION("""COMPUTED_VALUE"""),"Yiyi")</f>
        <v>Yiyi</v>
      </c>
      <c r="I17" s="43"/>
      <c r="J17" s="41"/>
      <c r="K17" s="42"/>
      <c r="L17" s="39"/>
      <c r="M17" s="43"/>
      <c r="N17" s="41"/>
      <c r="O17" s="42"/>
      <c r="P17" s="39"/>
      <c r="Q17" s="43"/>
      <c r="R17" s="41"/>
      <c r="S17" s="8"/>
      <c r="T17" s="47" t="str">
        <f>IFERROR(__xludf.DUMMYFUNCTION("""COMPUTED_VALUE"""),"Michael, Yiyi")</f>
        <v>Michael, Yiyi</v>
      </c>
      <c r="U17" s="48"/>
      <c r="V17" s="49"/>
      <c r="W17" s="8"/>
    </row>
    <row r="18">
      <c r="A18" s="33">
        <v>0.7291666666666666</v>
      </c>
      <c r="B18" s="20"/>
      <c r="C18" s="3"/>
      <c r="D18" s="50" t="str">
        <f>IFERROR(__xludf.DUMMYFUNCTION("""COMPUTED_VALUE"""),"Samanway")</f>
        <v>Samanway</v>
      </c>
      <c r="E18" s="51"/>
      <c r="F18" s="52"/>
      <c r="G18" s="42"/>
      <c r="H18" s="39" t="str">
        <f>IFERROR(__xludf.DUMMYFUNCTION("""COMPUTED_VALUE"""),"Yiyi")</f>
        <v>Yiyi</v>
      </c>
      <c r="I18" s="43"/>
      <c r="J18" s="41"/>
      <c r="K18" s="42"/>
      <c r="L18" s="39"/>
      <c r="M18" s="43"/>
      <c r="N18" s="41"/>
      <c r="O18" s="42"/>
      <c r="P18" s="39"/>
      <c r="Q18" s="43"/>
      <c r="R18" s="41"/>
      <c r="S18" s="8"/>
      <c r="T18" s="50" t="str">
        <f>IFERROR(__xludf.DUMMYFUNCTION("""COMPUTED_VALUE"""),"Michael, Yiyi")</f>
        <v>Michael, Yiyi</v>
      </c>
      <c r="U18" s="51"/>
      <c r="V18" s="52"/>
      <c r="W18" s="8"/>
    </row>
    <row r="19">
      <c r="A19" s="33">
        <v>0.75</v>
      </c>
      <c r="B19" s="20"/>
      <c r="C19" s="3"/>
      <c r="D19" s="37" t="str">
        <f>IFERROR(__xludf.DUMMYFUNCTION("""COMPUTED_VALUE"""),"Yiyi, Samanway")</f>
        <v>Yiyi, Samanway</v>
      </c>
      <c r="E19" s="8"/>
      <c r="F19" s="27"/>
      <c r="G19" s="3"/>
      <c r="H19" s="21" t="str">
        <f>IFERROR(__xludf.DUMMYFUNCTION("""COMPUTED_VALUE"""),"Yiyi")</f>
        <v>Yiyi</v>
      </c>
      <c r="I19" s="24"/>
      <c r="J19" s="23"/>
      <c r="K19" s="3"/>
      <c r="L19" s="37"/>
      <c r="M19" s="8"/>
      <c r="N19" s="27"/>
      <c r="O19" s="3"/>
      <c r="P19" s="37"/>
      <c r="Q19" s="8"/>
      <c r="R19" s="27"/>
      <c r="S19" s="8"/>
      <c r="T19" s="37"/>
      <c r="U19" s="8"/>
      <c r="V19" s="27"/>
      <c r="W19" s="8"/>
    </row>
    <row r="20">
      <c r="A20" s="33">
        <v>0.7708333333333334</v>
      </c>
      <c r="B20" s="20"/>
      <c r="C20" s="3"/>
      <c r="D20" s="37" t="str">
        <f>IFERROR(__xludf.DUMMYFUNCTION("""COMPUTED_VALUE"""),"Yiyi")</f>
        <v>Yiyi</v>
      </c>
      <c r="E20" s="8"/>
      <c r="F20" s="27"/>
      <c r="G20" s="3"/>
      <c r="H20" s="21" t="str">
        <f>IFERROR(__xludf.DUMMYFUNCTION("""COMPUTED_VALUE"""),"Yiyi")</f>
        <v>Yiyi</v>
      </c>
      <c r="I20" s="24"/>
      <c r="J20" s="23"/>
      <c r="K20" s="3"/>
      <c r="L20" s="37"/>
      <c r="M20" s="8"/>
      <c r="N20" s="27"/>
      <c r="O20" s="3"/>
      <c r="P20" s="37"/>
      <c r="Q20" s="8"/>
      <c r="R20" s="27"/>
      <c r="S20" s="8"/>
      <c r="T20" s="37"/>
      <c r="U20" s="8"/>
      <c r="V20" s="27"/>
      <c r="W20" s="8"/>
    </row>
    <row r="21">
      <c r="A21" s="33">
        <v>0.7916666666666666</v>
      </c>
      <c r="B21" s="20"/>
      <c r="C21" s="3"/>
      <c r="D21" s="37" t="str">
        <f>IFERROR(__xludf.DUMMYFUNCTION("""COMPUTED_VALUE"""),"Yiyi")</f>
        <v>Yiyi</v>
      </c>
      <c r="E21" s="8"/>
      <c r="F21" s="27"/>
      <c r="G21" s="3"/>
      <c r="H21" s="37" t="str">
        <f>IFERROR(__xludf.DUMMYFUNCTION("""COMPUTED_VALUE"""),"Yiyi")</f>
        <v>Yiyi</v>
      </c>
      <c r="I21" s="8"/>
      <c r="J21" s="27"/>
      <c r="K21" s="3"/>
      <c r="L21" s="37"/>
      <c r="M21" s="8"/>
      <c r="N21" s="27"/>
      <c r="O21" s="3"/>
      <c r="P21" s="37"/>
      <c r="Q21" s="8"/>
      <c r="R21" s="27"/>
      <c r="S21" s="8"/>
      <c r="T21" s="37"/>
      <c r="U21" s="8"/>
      <c r="V21" s="27"/>
      <c r="W21" s="8"/>
    </row>
    <row r="22">
      <c r="A22" s="33">
        <v>0.8125</v>
      </c>
      <c r="B22" s="20"/>
      <c r="C22" s="3"/>
      <c r="D22" s="37"/>
      <c r="E22" s="8"/>
      <c r="F22" s="27"/>
      <c r="G22" s="3"/>
      <c r="H22" s="37"/>
      <c r="I22" s="8"/>
      <c r="J22" s="27"/>
      <c r="K22" s="3"/>
      <c r="L22" s="37"/>
      <c r="M22" s="8"/>
      <c r="N22" s="27"/>
      <c r="O22" s="3"/>
      <c r="P22" s="37"/>
      <c r="Q22" s="8"/>
      <c r="R22" s="27"/>
      <c r="S22" s="8"/>
      <c r="T22" s="37"/>
      <c r="U22" s="8"/>
      <c r="V22" s="27"/>
      <c r="W22" s="8"/>
    </row>
    <row r="23">
      <c r="A23" s="33">
        <v>0.8333333333333334</v>
      </c>
      <c r="B23" s="38"/>
      <c r="C23" s="3"/>
      <c r="D23" s="37"/>
      <c r="E23" s="8"/>
      <c r="F23" s="27"/>
      <c r="G23" s="3"/>
      <c r="H23" s="37"/>
      <c r="I23" s="8"/>
      <c r="J23" s="27"/>
      <c r="K23" s="3"/>
      <c r="L23" s="37"/>
      <c r="M23" s="8"/>
      <c r="N23" s="27"/>
      <c r="O23" s="3"/>
      <c r="P23" s="37"/>
      <c r="Q23" s="8"/>
      <c r="R23" s="27"/>
      <c r="S23" s="8"/>
      <c r="T23" s="37"/>
      <c r="U23" s="8"/>
      <c r="V23" s="27"/>
      <c r="W23" s="8"/>
    </row>
    <row r="24">
      <c r="A24" s="33">
        <v>0.8541666666666666</v>
      </c>
      <c r="B24" s="38"/>
      <c r="C24" s="3"/>
      <c r="D24" s="37"/>
      <c r="E24" s="8"/>
      <c r="F24" s="27"/>
      <c r="G24" s="3"/>
      <c r="H24" s="37"/>
      <c r="I24" s="8"/>
      <c r="J24" s="27"/>
      <c r="K24" s="3"/>
      <c r="L24" s="37"/>
      <c r="M24" s="8"/>
      <c r="N24" s="27"/>
      <c r="O24" s="3"/>
      <c r="P24" s="37"/>
      <c r="Q24" s="8"/>
      <c r="R24" s="27"/>
      <c r="S24" s="8"/>
      <c r="T24" s="37"/>
      <c r="U24" s="8"/>
      <c r="V24" s="27"/>
      <c r="W24" s="8"/>
    </row>
    <row r="25">
      <c r="A25" s="53">
        <v>0.875</v>
      </c>
      <c r="B25" s="54"/>
      <c r="C25" s="3"/>
      <c r="D25" s="55"/>
      <c r="E25" s="56"/>
      <c r="F25" s="57"/>
      <c r="G25" s="3"/>
      <c r="H25" s="55"/>
      <c r="I25" s="56"/>
      <c r="J25" s="57"/>
      <c r="K25" s="3"/>
      <c r="L25" s="55"/>
      <c r="M25" s="56"/>
      <c r="N25" s="57"/>
      <c r="O25" s="3"/>
      <c r="P25" s="55"/>
      <c r="Q25" s="56"/>
      <c r="R25" s="57"/>
      <c r="S25" s="8"/>
      <c r="T25" s="55"/>
      <c r="U25" s="56"/>
      <c r="V25" s="57"/>
      <c r="W25" s="8"/>
    </row>
    <row r="26">
      <c r="A26" s="24"/>
      <c r="B26" s="8"/>
      <c r="C26" s="3"/>
      <c r="D26" s="8"/>
      <c r="E26" s="8"/>
      <c r="F26" s="8"/>
      <c r="G26" s="3"/>
      <c r="H26" s="8"/>
      <c r="I26" s="8"/>
      <c r="J26" s="8"/>
      <c r="K26" s="3"/>
      <c r="L26" s="8"/>
      <c r="M26" s="8"/>
      <c r="N26" s="8"/>
      <c r="O26" s="3"/>
      <c r="P26" s="8"/>
      <c r="Q26" s="8"/>
      <c r="R26" s="8"/>
      <c r="S26" s="8"/>
      <c r="T26" s="8"/>
      <c r="U26" s="8"/>
      <c r="V26" s="8"/>
      <c r="W26" s="8"/>
    </row>
  </sheetData>
  <mergeCells count="5">
    <mergeCell ref="D1:F1"/>
    <mergeCell ref="H1:J1"/>
    <mergeCell ref="L1:N1"/>
    <mergeCell ref="P1:R1"/>
    <mergeCell ref="T1:V1"/>
  </mergeCells>
  <conditionalFormatting sqref="P5:P25">
    <cfRule type="notContainsBlanks" dxfId="0" priority="1">
      <formula>LEN(TRIM(P5))&gt;0</formula>
    </cfRule>
  </conditionalFormatting>
  <conditionalFormatting sqref="T5:T25">
    <cfRule type="notContainsBlanks" dxfId="0" priority="2">
      <formula>LEN(TRIM(T5))&gt;0</formula>
    </cfRule>
  </conditionalFormatting>
  <conditionalFormatting sqref="D2:D25 B4">
    <cfRule type="notContainsBlanks" dxfId="0" priority="3">
      <formula>LEN(TRIM(D2))&gt;0</formula>
    </cfRule>
  </conditionalFormatting>
  <conditionalFormatting sqref="E1:E26 I2">
    <cfRule type="notContainsBlanks" dxfId="1" priority="4">
      <formula>LEN(TRIM(E1))&gt;0</formula>
    </cfRule>
  </conditionalFormatting>
  <conditionalFormatting sqref="H2:H26 L2 P2 T2">
    <cfRule type="notContainsBlanks" dxfId="0" priority="5">
      <formula>LEN(TRIM(H2))&gt;0</formula>
    </cfRule>
  </conditionalFormatting>
  <conditionalFormatting sqref="I2:I26">
    <cfRule type="notContainsBlanks" dxfId="1" priority="6">
      <formula>LEN(TRIM(I2))&gt;0</formula>
    </cfRule>
  </conditionalFormatting>
  <conditionalFormatting sqref="L2:L26 P2 T2">
    <cfRule type="notContainsBlanks" dxfId="0" priority="7">
      <formula>LEN(TRIM(L2))&gt;0</formula>
    </cfRule>
  </conditionalFormatting>
  <conditionalFormatting sqref="N2:N26">
    <cfRule type="notContainsBlanks" dxfId="2" priority="8">
      <formula>LEN(TRIM(N2))&gt;0</formula>
    </cfRule>
  </conditionalFormatting>
  <drawing r:id="rId1"/>
</worksheet>
</file>